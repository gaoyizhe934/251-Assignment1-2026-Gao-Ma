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5084268a8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任务" sheetId="1" r:id="R8b0b2a5bcf6a4560"/>
    <x:sheet xmlns:r="http://schemas.openxmlformats.org/officeDocument/2006/relationships" name="阶段验收" sheetId="2" r:id="R8fb38399b3bd4a5f"/>
    <x:sheet xmlns:r="http://schemas.openxmlformats.org/officeDocument/2006/relationships" name="技术栈" sheetId="3" r:id="Rd3805929ce6a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Arial"/>
    </x:font>
    <x:font>
      <x:b/>
      <x:sz val="15"/>
      <x:color rgb="FFFFFFFF"/>
      <x:name val="Arial"/>
    </x:font>
    <x:font>
      <x:i/>
      <x:sz val="10"/>
      <x:color rgb="FF4A5568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D9E2F3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75ad21a4e4300" /><Relationship Type="http://schemas.openxmlformats.org/officeDocument/2006/relationships/theme" Target="/xl/theme/theme1.xml" Id="Raa552f725e884818" /><Relationship Type="http://schemas.openxmlformats.org/officeDocument/2006/relationships/sharedStrings" Target="/xl/sharedStrings.xml" Id="R6bae65a5b59645c7" /><Relationship Type="http://schemas.openxmlformats.org/officeDocument/2006/relationships/worksheet" Target="/xl/worksheets/sheet1.xml" Id="R8b0b2a5bcf6a4560" /><Relationship Type="http://schemas.openxmlformats.org/officeDocument/2006/relationships/worksheet" Target="/xl/worksheets/sheet2.xml" Id="R8fb38399b3bd4a5f" /><Relationship Type="http://schemas.openxmlformats.org/officeDocument/2006/relationships/worksheet" Target="/xl/worksheets/sheet3.xml" Id="Rd3805929ce6a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20" hidden="0" customWidth="1"/>
    <x:col min="4" max="4" width="35" hidden="0" customWidth="1"/>
    <x:col min="5" max="5" width="27" hidden="0" customWidth="1"/>
    <x:col min="6" max="6" width="15" hidden="0" customWidth="1"/>
    <x:col min="7" max="7" width="12" hidden="0" customWidth="1"/>
    <x:col min="8" max="8" width="8" hidden="0" customWidth="1"/>
    <x:col min="9" max="9" width="8" hidden="0" customWidth="1"/>
    <x:col min="10" max="10" width="15" hidden="0" customWidth="1"/>
    <x:col min="11" max="11" width="15" hidden="0" customWidth="1"/>
    <x:col min="12" max="12" width="10" hidden="0" customWidth="1"/>
  </x:cols>
  <x:sheetData>
    <x:row r="1" ht="25" customHeight="1">
      <x:c r="A1" s="5" t="str">
        <x:v>Java 文本编辑器 五阶段开发任务清单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8" t="str">
        <x:v>每行是一项可验收任务。由两名开发者负责，非作者完成复核；状态在实际开发时填写。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2" t="str">
        <x:v>项目</x:v>
      </x:c>
      <x:c r="B4" s="11" t="str">
        <x:v>159.251 Assignment 1</x:v>
      </x:c>
      <x:c r="C4" s="12" t="str">
        <x:v>团队</x:v>
      </x:c>
      <x:c r="D4" s="11" t="str">
        <x:v>开发者 A、开发者 B</x:v>
      </x:c>
      <x:c r="E4" s="12" t="str">
        <x:v>技术基线</x:v>
      </x:c>
      <x:c r="F4" s="11" t="str">
        <x:v>Java SE 17 / Swing / Maven</x:v>
      </x:c>
      <x:c r="G4" s="12" t="str">
        <x:v>交付</x:v>
      </x:c>
      <x:c r="H4" s="11" t="str">
        <x:v>私有 GitHub / Docker / 报告</x:v>
      </x:c>
      <x:c r="I4" s="12" t="str">
        <x:v>状态符号</x:v>
      </x:c>
      <x:c r="J4" s="11" t="str">
        <x:v>待开始</x:v>
      </x:c>
      <x:c r="K4" s="11"/>
      <x:c r="L4" s="11"/>
    </x:row>
    <x:row r="5">
      <x:c r="A5" s="12" t="str">
        <x:v>协作规则</x:v>
      </x:c>
      <x:c r="B5" s="11" t="str">
        <x:v>A 负责核心功能与质量验证；B 负责界面呈现与交付自动化；每项任务关联 GitHub Issue。</x:v>
      </x:c>
      <x:c r="C5" s="12" t="str"/>
      <x:c r="D5" s="11" t="str"/>
      <x:c r="E5" s="12" t="str">
        <x:v>应用代码</x:v>
      </x:c>
      <x:c r="F5" s="11" t="str">
        <x:v>仅使用 Java；.java/.cpp/.py/.js 仅作为读取的文本文件。</x:v>
      </x:c>
      <x:c r="G5" s="12" t="str"/>
      <x:c r="H5" s="11" t="str"/>
      <x:c r="I5" s="12" t="str">
        <x:v>提交提醒</x:v>
      </x:c>
      <x:c r="J5" s="11" t="str">
        <x:v>压缩包不包含 target</x:v>
      </x:c>
      <x:c r="K5" s="11" t="str"/>
      <x:c r="L5" s="11" t="str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7" t="str">
        <x:v>阶段</x:v>
      </x:c>
      <x:c r="B7" s="17" t="str">
        <x:v>负责人</x:v>
      </x:c>
      <x:c r="C7" s="17" t="str">
        <x:v>任务</x:v>
      </x:c>
      <x:c r="D7" s="17" t="str">
        <x:v>任务说明</x:v>
      </x:c>
      <x:c r="E7" s="17" t="str">
        <x:v>交付物</x:v>
      </x:c>
      <x:c r="F7" s="17" t="str">
        <x:v>非作者复核</x:v>
      </x:c>
      <x:c r="G7" s="17" t="str">
        <x:v>状态</x:v>
      </x:c>
      <x:c r="H7" s="17" t="str">
        <x:v>完成</x:v>
      </x:c>
      <x:c r="I7" s="17" t="str">
        <x:v>复核</x:v>
      </x:c>
      <x:c r="J7" s="17" t="str">
        <x:v>Issue / 证据</x:v>
      </x:c>
      <x:c r="K7" s="17" t="str">
        <x:v>备注</x:v>
      </x:c>
      <x:c r="L7" s="17" t="str">
        <x:v>优先级</x:v>
      </x:c>
    </x:row>
    <x:row r="8" ht="40" customHeight="1">
      <x:c r="A8" s="21" t="str">
        <x:v>P1</x:v>
      </x:c>
      <x:c r="B8" s="21" t="str">
        <x:v>A</x:v>
      </x:c>
      <x:c r="C8" s="21" t="str">
        <x:v>Java 核心基线</x:v>
      </x:c>
      <x:c r="D8" s="21" t="str">
        <x:v>建立 Maven 包结构、EditorDocument、EditorSettings、ConfigService、DocumentService 接口和 default.yml。</x:v>
      </x:c>
      <x:c r="E8" s="21" t="str">
        <x:v>核心 Java 类、pom.xml、YAML</x:v>
      </x:c>
      <x:c r="F8" s="21" t="str">
        <x:v>B</x:v>
      </x:c>
      <x:c r="G8" s="21" t="str">
        <x:v>待开始</x:v>
      </x:c>
      <x:c r="H8" s="21" t="str">
        <x:v>□</x:v>
      </x:c>
      <x:c r="I8" s="21" t="str">
        <x:v>□</x:v>
      </x:c>
      <x:c r="J8" s="21" t="str">
        <x:v>Issue #</x:v>
      </x:c>
      <x:c r="K8" s="21" t="str"/>
      <x:c r="L8" s="21" t="str">
        <x:v>高</x:v>
      </x:c>
    </x:row>
    <x:row r="9" ht="40" customHeight="1">
      <x:c r="A9" s="21" t="str">
        <x:v>P1</x:v>
      </x:c>
      <x:c r="B9" s="21" t="str">
        <x:v>B</x:v>
      </x:c>
      <x:c r="C9" s="21" t="str">
        <x:v>Swing 窗口骨架</x:v>
      </x:c>
      <x:c r="D9" s="21" t="str">
        <x:v>建立启动类、主窗口、四类菜单、状态栏和独立编辑窗口的界面骨架。</x:v>
      </x:c>
      <x:c r="E9" s="21" t="str">
        <x:v>MainFrame、菜单空壳</x:v>
      </x:c>
      <x:c r="F9" s="21" t="str">
        <x:v>A</x:v>
      </x:c>
      <x:c r="G9" s="21" t="str">
        <x:v>待开始</x:v>
      </x:c>
      <x:c r="H9" s="21" t="str">
        <x:v>□</x:v>
      </x:c>
      <x:c r="I9" s="21" t="str">
        <x:v>□</x:v>
      </x:c>
      <x:c r="J9" s="21" t="str">
        <x:v>Issue #</x:v>
      </x:c>
      <x:c r="K9" s="21" t="str"/>
      <x:c r="L9" s="21" t="str">
        <x:v>高</x:v>
      </x:c>
    </x:row>
    <x:row r="10" ht="40" customHeight="1">
      <x:c r="A10" s="21" t="str">
        <x:v>P1</x:v>
      </x:c>
      <x:c r="B10" s="21" t="str">
        <x:v>共同</x:v>
      </x:c>
      <x:c r="C10" s="21" t="str">
        <x:v>仓库与任务基线</x:v>
      </x:c>
      <x:c r="D10" s="21" t="str">
        <x:v>创建私有仓库、GitHub Issues、分支规则和测试样例目录；确认仓库名称符合题目格式。</x:v>
      </x:c>
      <x:c r="E10" s="21" t="str">
        <x:v>Issue 清单、目录说明</x:v>
      </x:c>
      <x:c r="F10" s="21" t="str">
        <x:v>互相复核</x:v>
      </x:c>
      <x:c r="G10" s="21" t="str">
        <x:v>待开始</x:v>
      </x:c>
      <x:c r="H10" s="21" t="str">
        <x:v>□</x:v>
      </x:c>
      <x:c r="I10" s="21" t="str">
        <x:v>□</x:v>
      </x:c>
      <x:c r="J10" s="21" t="str">
        <x:v>Issue #</x:v>
      </x:c>
      <x:c r="K10" s="21" t="str"/>
      <x:c r="L10" s="21" t="str">
        <x:v>中</x:v>
      </x:c>
    </x:row>
    <x:row r="11" ht="40" customHeight="1">
      <x:c r="A11" s="21" t="str">
        <x:v>P2</x:v>
      </x:c>
      <x:c r="B11" s="21" t="str">
        <x:v>A</x:v>
      </x:c>
      <x:c r="C11" s="21" t="str">
        <x:v>New 与 TXT 文件服务</x:v>
      </x:c>
      <x:c r="D11" s="21" t="str">
        <x:v>实现新窗口、TXT 打开、UTF-8 保存、另存为、未保存状态和文件异常处理。</x:v>
      </x:c>
      <x:c r="E11" s="21" t="str">
        <x:v>DocumentService 与测试</x:v>
      </x:c>
      <x:c r="F11" s="21" t="str">
        <x:v>B</x:v>
      </x:c>
      <x:c r="G11" s="21" t="str">
        <x:v>待开始</x:v>
      </x:c>
      <x:c r="H11" s="21" t="str">
        <x:v>□</x:v>
      </x:c>
      <x:c r="I11" s="21" t="str">
        <x:v>□</x:v>
      </x:c>
      <x:c r="J11" s="21" t="str">
        <x:v>Issue #</x:v>
      </x:c>
      <x:c r="K11" s="21" t="str"/>
      <x:c r="L11" s="21" t="str">
        <x:v>高</x:v>
      </x:c>
    </x:row>
    <x:row r="12" ht="40" customHeight="1">
      <x:c r="A12" s="21" t="str">
        <x:v>P2</x:v>
      </x:c>
      <x:c r="B12" s="21" t="str">
        <x:v>A</x:v>
      </x:c>
      <x:c r="C12" s="21" t="str">
        <x:v>搜索与日期时间</x:v>
      </x:c>
      <x:c r="D12" s="21" t="str">
        <x:v>实现单词查找、下一处定位和在光标位置插入系统日期时间；补齐单元测试。</x:v>
      </x:c>
      <x:c r="E12" s="21" t="str">
        <x:v>SearchService、日期时间测试</x:v>
      </x:c>
      <x:c r="F12" s="21" t="str">
        <x:v>B</x:v>
      </x:c>
      <x:c r="G12" s="21" t="str">
        <x:v>待开始</x:v>
      </x:c>
      <x:c r="H12" s="21" t="str">
        <x:v>□</x:v>
      </x:c>
      <x:c r="I12" s="21" t="str">
        <x:v>□</x:v>
      </x:c>
      <x:c r="J12" s="21" t="str">
        <x:v>Issue #</x:v>
      </x:c>
      <x:c r="K12" s="21" t="str"/>
      <x:c r="L12" s="21" t="str">
        <x:v>高</x:v>
      </x:c>
    </x:row>
    <x:row r="13" ht="40" customHeight="1">
      <x:c r="A13" s="21" t="str">
        <x:v>P2</x:v>
      </x:c>
      <x:c r="B13" s="21" t="str">
        <x:v>B</x:v>
      </x:c>
      <x:c r="C13" s="21" t="str">
        <x:v>菜单与文件对话框</x:v>
      </x:c>
      <x:c r="D13" s="21" t="str">
        <x:v>完成 File、Search、View、Help 菜单事件、JFileChooser 和状态栏反馈。</x:v>
      </x:c>
      <x:c r="E13" s="21" t="str">
        <x:v>菜单动作与文件选择器</x:v>
      </x:c>
      <x:c r="F13" s="21" t="str">
        <x:v>A</x:v>
      </x:c>
      <x:c r="G13" s="21" t="str">
        <x:v>待开始</x:v>
      </x:c>
      <x:c r="H13" s="21" t="str">
        <x:v>□</x:v>
      </x:c>
      <x:c r="I13" s="21" t="str">
        <x:v>□</x:v>
      </x:c>
      <x:c r="J13" s="21" t="str">
        <x:v>Issue #</x:v>
      </x:c>
      <x:c r="K13" s="21" t="str"/>
      <x:c r="L13" s="21" t="str">
        <x:v>高</x:v>
      </x:c>
    </x:row>
    <x:row r="14" ht="40" customHeight="1">
      <x:c r="A14" s="21" t="str">
        <x:v>P2</x:v>
      </x:c>
      <x:c r="B14" s="21" t="str">
        <x:v>B</x:v>
      </x:c>
      <x:c r="C14" s="21" t="str">
        <x:v>SCPC Exit About</x:v>
      </x:c>
      <x:c r="D14" s="21" t="str">
        <x:v>实现选中、复制、剪切、粘贴、关闭全部窗口、退出确认和 About 弹窗。</x:v>
      </x:c>
      <x:c r="E14" s="21" t="str">
        <x:v>编辑动作与 About</x:v>
      </x:c>
      <x:c r="F14" s="21" t="str">
        <x:v>A</x:v>
      </x:c>
      <x:c r="G14" s="21" t="str">
        <x:v>待开始</x:v>
      </x:c>
      <x:c r="H14" s="21" t="str">
        <x:v>□</x:v>
      </x:c>
      <x:c r="I14" s="21" t="str">
        <x:v>□</x:v>
      </x:c>
      <x:c r="J14" s="21" t="str">
        <x:v>Issue #</x:v>
      </x:c>
      <x:c r="K14" s="21" t="str"/>
      <x:c r="L14" s="21" t="str">
        <x:v>高</x:v>
      </x:c>
    </x:row>
    <x:row r="15" ht="40" customHeight="1">
      <x:c r="A15" s="21" t="str">
        <x:v>P3</x:v>
      </x:c>
      <x:c r="B15" s="21" t="str">
        <x:v>A</x:v>
      </x:c>
      <x:c r="C15" s="21" t="str">
        <x:v>RTF 与 ODT 读取</x:v>
      </x:c>
      <x:c r="D15" s="21" t="str">
        <x:v>使用 Java 依赖读取 RTF 与 ODT 文本；对损坏或不支持文件给出明确异常结果。</x:v>
      </x:c>
      <x:c r="E15" s="21" t="str">
        <x:v>FormatReader、格式样例</x:v>
      </x:c>
      <x:c r="F15" s="21" t="str">
        <x:v>B</x:v>
      </x:c>
      <x:c r="G15" s="21" t="str">
        <x:v>待开始</x:v>
      </x:c>
      <x:c r="H15" s="21" t="str">
        <x:v>□</x:v>
      </x:c>
      <x:c r="I15" s="21" t="str">
        <x:v>□</x:v>
      </x:c>
      <x:c r="J15" s="21" t="str">
        <x:v>Issue #</x:v>
      </x:c>
      <x:c r="K15" s="21" t="str"/>
      <x:c r="L15" s="21" t="str">
        <x:v>高</x:v>
      </x:c>
    </x:row>
    <x:row r="16" ht="40" customHeight="1">
      <x:c r="A16" s="21" t="str">
        <x:v>P3</x:v>
      </x:c>
      <x:c r="B16" s="21" t="str">
        <x:v>A</x:v>
      </x:c>
      <x:c r="C16" s="21" t="str">
        <x:v>PDF 导出</x:v>
      </x:c>
      <x:c r="D16" s="21" t="str">
        <x:v>使用 Java PDF 库将当前标准文本导出为 PDF，并检查分页和中文显示。</x:v>
      </x:c>
      <x:c r="E16" s="21" t="str">
        <x:v>ExportService、PDF 样例</x:v>
      </x:c>
      <x:c r="F16" s="21" t="str">
        <x:v>B</x:v>
      </x:c>
      <x:c r="G16" s="21" t="str">
        <x:v>待开始</x:v>
      </x:c>
      <x:c r="H16" s="21" t="str">
        <x:v>□</x:v>
      </x:c>
      <x:c r="I16" s="21" t="str">
        <x:v>□</x:v>
      </x:c>
      <x:c r="J16" s="21" t="str">
        <x:v>Issue #</x:v>
      </x:c>
      <x:c r="K16" s="21" t="str"/>
      <x:c r="L16" s="21" t="str">
        <x:v>高</x:v>
      </x:c>
    </x:row>
    <x:row r="17" ht="40" customHeight="1">
      <x:c r="A17" s="21" t="str">
        <x:v>P3</x:v>
      </x:c>
      <x:c r="B17" s="21" t="str">
        <x:v>A</x:v>
      </x:c>
      <x:c r="C17" s="21" t="str">
        <x:v>源码类型服务</x:v>
      </x:c>
      <x:c r="D17" s="21" t="str">
        <x:v>读取 .java、.cpp、.py、.js 等源码文件，识别扩展名并为界面提供语法样式标识。</x:v>
      </x:c>
      <x:c r="E17" s="21" t="str">
        <x:v>FileType 与高亮服务测试</x:v>
      </x:c>
      <x:c r="F17" s="21" t="str">
        <x:v>B</x:v>
      </x:c>
      <x:c r="G17" s="21" t="str">
        <x:v>待开始</x:v>
      </x:c>
      <x:c r="H17" s="21" t="str">
        <x:v>□</x:v>
      </x:c>
      <x:c r="I17" s="21" t="str">
        <x:v>□</x:v>
      </x:c>
      <x:c r="J17" s="21" t="str">
        <x:v>Issue #</x:v>
      </x:c>
      <x:c r="K17" s="21" t="str"/>
      <x:c r="L17" s="21" t="str">
        <x:v>中</x:v>
      </x:c>
    </x:row>
    <x:row r="18" ht="40" customHeight="1">
      <x:c r="A18" s="21" t="str">
        <x:v>P3</x:v>
      </x:c>
      <x:c r="B18" s="21" t="str">
        <x:v>B</x:v>
      </x:c>
      <x:c r="C18" s="21" t="str">
        <x:v>语法显示与打印</x:v>
      </x:c>
      <x:c r="D18" s="21" t="str">
        <x:v>将 .java、.cpp、.py、.js 的样式标识应用到编辑区；调用本地打印对话框打印当前文本。</x:v>
      </x:c>
      <x:c r="E18" s="21" t="str">
        <x:v>高亮显示、打印记录</x:v>
      </x:c>
      <x:c r="F18" s="21" t="str">
        <x:v>A</x:v>
      </x:c>
      <x:c r="G18" s="21" t="str">
        <x:v>待开始</x:v>
      </x:c>
      <x:c r="H18" s="21" t="str">
        <x:v>□</x:v>
      </x:c>
      <x:c r="I18" s="21" t="str">
        <x:v>□</x:v>
      </x:c>
      <x:c r="J18" s="21" t="str">
        <x:v>Issue #</x:v>
      </x:c>
      <x:c r="K18" s="21" t="str"/>
      <x:c r="L18" s="21" t="str">
        <x:v>高</x:v>
      </x:c>
    </x:row>
    <x:row r="19" ht="40" customHeight="1">
      <x:c r="A19" s="21" t="str">
        <x:v>P4</x:v>
      </x:c>
      <x:c r="B19" s="21" t="str">
        <x:v>A</x:v>
      </x:c>
      <x:c r="C19" s="21" t="str">
        <x:v>JUnit 与质量报告</x:v>
      </x:c>
      <x:c r="D19" s="21" t="str">
        <x:v>补齐打开、保存、搜索测试；执行 SpotBugs、PMD、JavaNCSS 并整理三类报告。</x:v>
      </x:c>
      <x:c r="E19" s="21" t="str">
        <x:v>mvn test、metrics、spotbugs、pmd</x:v>
      </x:c>
      <x:c r="F19" s="21" t="str">
        <x:v>B</x:v>
      </x:c>
      <x:c r="G19" s="21" t="str">
        <x:v>待开始</x:v>
      </x:c>
      <x:c r="H19" s="21" t="str">
        <x:v>□</x:v>
      </x:c>
      <x:c r="I19" s="21" t="str">
        <x:v>□</x:v>
      </x:c>
      <x:c r="J19" s="21" t="str">
        <x:v>Issue #</x:v>
      </x:c>
      <x:c r="K19" s="21" t="str"/>
      <x:c r="L19" s="21" t="str">
        <x:v>高</x:v>
      </x:c>
    </x:row>
    <x:row r="20" ht="40" customHeight="1">
      <x:c r="A20" s="21" t="str">
        <x:v>P4</x:v>
      </x:c>
      <x:c r="B20" s="21" t="str">
        <x:v>B</x:v>
      </x:c>
      <x:c r="C20" s="21" t="str">
        <x:v>CI Docker 与运行说明</x:v>
      </x:c>
      <x:c r="D20" s="21" t="str">
        <x:v>配置 GitHub Actions、Dockerfile 和 Maven 容器运行命令；补充 README 运行步骤。</x:v>
      </x:c>
      <x:c r="E20" s="21" t="str">
        <x:v>CI、Dockerfile、README 草稿</x:v>
      </x:c>
      <x:c r="F20" s="21" t="str">
        <x:v>A</x:v>
      </x:c>
      <x:c r="G20" s="21" t="str">
        <x:v>待开始</x:v>
      </x:c>
      <x:c r="H20" s="21" t="str">
        <x:v>□</x:v>
      </x:c>
      <x:c r="I20" s="21" t="str">
        <x:v>□</x:v>
      </x:c>
      <x:c r="J20" s="21" t="str">
        <x:v>Issue #</x:v>
      </x:c>
      <x:c r="K20" s="21" t="str"/>
      <x:c r="L20" s="21" t="str">
        <x:v>高</x:v>
      </x:c>
    </x:row>
    <x:row r="21" ht="40" customHeight="1">
      <x:c r="A21" s="21" t="str">
        <x:v>P4</x:v>
      </x:c>
      <x:c r="B21" s="21" t="str">
        <x:v>共同</x:v>
      </x:c>
      <x:c r="C21" s="21" t="str">
        <x:v>集成回归</x:v>
      </x:c>
      <x:c r="D21" s="21" t="str">
        <x:v>从 clean 构建执行题目全部主流程；记录问题并通过 Issue 追踪修复。</x:v>
      </x:c>
      <x:c r="E21" s="21" t="str">
        <x:v>回归记录与关闭 Issue</x:v>
      </x:c>
      <x:c r="F21" s="21" t="str">
        <x:v>互相复核</x:v>
      </x:c>
      <x:c r="G21" s="21" t="str">
        <x:v>待开始</x:v>
      </x:c>
      <x:c r="H21" s="21" t="str">
        <x:v>□</x:v>
      </x:c>
      <x:c r="I21" s="21" t="str">
        <x:v>□</x:v>
      </x:c>
      <x:c r="J21" s="21" t="str">
        <x:v>Issue #</x:v>
      </x:c>
      <x:c r="K21" s="21" t="str"/>
      <x:c r="L21" s="21" t="str">
        <x:v>高</x:v>
      </x:c>
    </x:row>
    <x:row r="22" ht="40" customHeight="1">
      <x:c r="A22" s="21" t="str">
        <x:v>P5</x:v>
      </x:c>
      <x:c r="B22" s="21" t="str">
        <x:v>A</x:v>
      </x:c>
      <x:c r="C22" s="21" t="str">
        <x:v>评分点功能验收</x:v>
      </x:c>
      <x:c r="D22" s="21" t="str">
        <x:v>逐项复测菜单、新窗口、文件、搜索、SCPC、日期时间、About、打印、格式读取和 PDF。</x:v>
      </x:c>
      <x:c r="E22" s="21" t="str">
        <x:v>功能验收表与证据</x:v>
      </x:c>
      <x:c r="F22" s="21" t="str">
        <x:v>B</x:v>
      </x:c>
      <x:c r="G22" s="21" t="str">
        <x:v>待开始</x:v>
      </x:c>
      <x:c r="H22" s="21" t="str">
        <x:v>□</x:v>
      </x:c>
      <x:c r="I22" s="21" t="str">
        <x:v>□</x:v>
      </x:c>
      <x:c r="J22" s="21" t="str">
        <x:v>Issue #</x:v>
      </x:c>
      <x:c r="K22" s="21" t="str"/>
      <x:c r="L22" s="21" t="str">
        <x:v>高</x:v>
      </x:c>
    </x:row>
    <x:row r="23" ht="40" customHeight="1">
      <x:c r="A23" s="21" t="str">
        <x:v>P5</x:v>
      </x:c>
      <x:c r="B23" s="21" t="str">
        <x:v>B</x:v>
      </x:c>
      <x:c r="C23" s="21" t="str">
        <x:v>提交材料收口</x:v>
      </x:c>
      <x:c r="D23" s="21" t="str">
        <x:v>完善 README 的成员、学号、目录、提交、仓库链接和 Docker 说明；检查压缩包不含 target。</x:v>
      </x:c>
      <x:c r="E23" s="21" t="str">
        <x:v>最终 README 与提交清单</x:v>
      </x:c>
      <x:c r="F23" s="21" t="str">
        <x:v>A</x:v>
      </x:c>
      <x:c r="G23" s="21" t="str">
        <x:v>待开始</x:v>
      </x:c>
      <x:c r="H23" s="21" t="str">
        <x:v>□</x:v>
      </x:c>
      <x:c r="I23" s="21" t="str">
        <x:v>□</x:v>
      </x:c>
      <x:c r="J23" s="21" t="str">
        <x:v>Issue #</x:v>
      </x:c>
      <x:c r="K23" s="21" t="str"/>
      <x:c r="L23" s="21" t="str">
        <x:v>高</x:v>
      </x:c>
    </x:row>
    <x:row r="24" ht="40" customHeight="1">
      <x:c r="A24" s="21" t="str">
        <x:v>P5</x:v>
      </x:c>
      <x:c r="B24" s="21" t="str">
        <x:v>共同</x:v>
      </x:c>
      <x:c r="C24" s="21" t="str">
        <x:v>最终交付检查</x:v>
      </x:c>
      <x:c r="D24" s="21" t="str">
        <x:v>确认私有仓库、两人提交与合并记录、Issues、报告、容器和最终压缩包完整。</x:v>
      </x:c>
      <x:c r="E24" s="21" t="str">
        <x:v>最终压缩包与检查表</x:v>
      </x:c>
      <x:c r="F24" s="21" t="str">
        <x:v>互相复核</x:v>
      </x:c>
      <x:c r="G24" s="21" t="str">
        <x:v>待开始</x:v>
      </x:c>
      <x:c r="H24" s="21" t="str">
        <x:v>□</x:v>
      </x:c>
      <x:c r="I24" s="21" t="str">
        <x:v>□</x:v>
      </x:c>
      <x:c r="J24" s="21" t="str">
        <x:v>Issue #</x:v>
      </x:c>
      <x:c r="K24" s="21" t="str"/>
      <x:c r="L24" s="21" t="str">
        <x:v>高</x:v>
      </x:c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24" t="str">
        <x:v>执行统计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</x:row>
    <x:row r="27">
      <x:c r="A27" s="17" t="str">
        <x:v>任务总数</x:v>
      </x:c>
      <x:c r="B27" s="17" t="str">
        <x:v>已完成</x:v>
      </x:c>
      <x:c r="C27" s="17" t="str">
        <x:v>进行中</x:v>
      </x:c>
      <x:c r="D27" s="17" t="str">
        <x:v>待复核</x:v>
      </x:c>
      <x:c r="E27" s="17" t="str">
        <x:v>阻塞项</x:v>
      </x:c>
      <x:c r="F27" s="17" t="str">
        <x:v>A 任务</x:v>
      </x:c>
      <x:c r="G27" s="17" t="str">
        <x:v>B 任务</x:v>
      </x:c>
      <x:c r="H27" s="17" t="str">
        <x:v>共同任务</x:v>
      </x:c>
      <x:c r="I27" s="1"/>
      <x:c r="J27" s="1"/>
      <x:c r="K27" s="1"/>
      <x:c r="L27" s="1"/>
    </x:row>
    <x:row r="28">
      <x:c r="A28" s="21" t="n">
        <x:f>COUNTA(A8:A24)</x:f>
        <x:v>17</x:v>
      </x:c>
      <x:c r="B28" s="21" t="n">
        <x:f>COUNTIF(G8:G24,"已完成")</x:f>
        <x:v>0</x:v>
      </x:c>
      <x:c r="C28" s="21" t="n">
        <x:f>COUNTIF(G8:G24,"进行中")</x:f>
        <x:v>0</x:v>
      </x:c>
      <x:c r="D28" s="21" t="n">
        <x:f>COUNTIF(G8:G24,"待复核")</x:f>
        <x:v>0</x:v>
      </x:c>
      <x:c r="E28" s="21" t="n">
        <x:f>COUNTIF(G8:G24,"阻塞")</x:f>
        <x:v>0</x:v>
      </x:c>
      <x:c r="F28" s="21" t="n">
        <x:f>COUNTIF(B8:B24,"A")</x:f>
        <x:v>8</x:v>
      </x:c>
      <x:c r="G28" s="21" t="n">
        <x:f>COUNTIF(B8:B24,"B")</x:f>
        <x:v>6</x:v>
      </x:c>
      <x:c r="H28" s="21" t="n">
        <x:f>COUNTIF(B8:B24,"共同")</x:f>
        <x:v>3</x:v>
      </x:c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A1:L1"/>
    <x:mergeCell ref="A2:L2"/>
    <x:mergeCell ref="A26:L26"/>
  </x:mergeCells>
  <x:conditionalFormatting sqref="G8:G24">
    <x:cfRule type="containsText" dxfId="0" priority="1" operator="containsText" text="阻塞"/>
    <x:cfRule type="containsText" dxfId="1" priority="2" operator="containsText" text="已完成"/>
  </x:conditionalFormatting>
  <x:dataValidations count="2">
    <x:dataValidation type="list" sqref="G8:G24">
      <x:formula1>"待开始,进行中,待复核,已完成,阻塞"</x:formula1>
    </x:dataValidation>
    <x:dataValidation type="list" sqref="L8:L24">
      <x:formula1>"高,中,低"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35" hidden="0" customWidth="1"/>
    <x:col min="4" max="4" width="35" hidden="0" customWidth="1"/>
    <x:col min="5" max="5" width="14" hidden="0" customWidth="1"/>
    <x:col min="6" max="6" width="18" hidden="0" customWidth="1"/>
  </x:cols>
  <x:sheetData>
    <x:row r="1">
      <x:c r="A1" s="5" t="str">
        <x:v>五阶段验收与发布检查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</x:row>
    <x:row r="2">
      <x:c r="A2" s="8" t="str">
        <x:v>每阶段通过后再进入下一阶段；记录实际证据位置，不以口头说明代替验证。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7" t="str">
        <x:v>阶段</x:v>
      </x:c>
      <x:c r="B4" s="17" t="str">
        <x:v>进入条件</x:v>
      </x:c>
      <x:c r="C4" s="17" t="str">
        <x:v>退出条件</x:v>
      </x:c>
      <x:c r="D4" s="17" t="str">
        <x:v>必须证据</x:v>
      </x:c>
      <x:c r="E4" s="17" t="str">
        <x:v>复核人</x:v>
      </x:c>
      <x:c r="F4" s="17" t="str">
        <x:v>结论</x:v>
      </x:c>
      <x:c r="G4" s="1"/>
      <x:c r="H4" s="1"/>
      <x:c r="I4" s="1"/>
      <x:c r="J4" s="1"/>
      <x:c r="K4" s="1"/>
      <x:c r="L4" s="1"/>
    </x:row>
    <x:row r="5" ht="48" customHeight="1">
      <x:c r="A5" s="21" t="str">
        <x:v>P1 基线与骨架</x:v>
      </x:c>
      <x:c r="B5" s="21" t="str">
        <x:v>两名成员、私有仓库、任务和 Java 技术栈已确定。</x:v>
      </x:c>
      <x:c r="C5" s="21" t="str">
        <x:v>Maven 可执行；YAML 被读取；Swing 主窗口和核心服务接口就绪。</x:v>
      </x:c>
      <x:c r="D5" s="21" t="str">
        <x:v>仓库名称、Issues、mvn test 记录</x:v>
      </x:c>
      <x:c r="E5" s="21" t="str">
        <x:v>互相复核</x:v>
      </x:c>
      <x:c r="F5" s="21" t="str">
        <x:v>□ 通过  □ 返工</x:v>
      </x:c>
      <x:c r="G5" s="1"/>
      <x:c r="H5" s="1"/>
      <x:c r="I5" s="1"/>
      <x:c r="J5" s="1"/>
      <x:c r="K5" s="1"/>
      <x:c r="L5" s="1"/>
    </x:row>
    <x:row r="6" ht="48" customHeight="1">
      <x:c r="A6" s="21" t="str">
        <x:v>P2 必做编辑</x:v>
      </x:c>
      <x:c r="B6" s="21" t="str">
        <x:v>窗口、菜单与核心文件服务已连接。</x:v>
      </x:c>
      <x:c r="C6" s="21" t="str">
        <x:v>新窗口、TXT 打开保存、搜索、SCPC、日期时间、About、退出全部可用。</x:v>
      </x:c>
      <x:c r="D6" s="21" t="str">
        <x:v>手工用例与 JUnit 结果</x:v>
      </x:c>
      <x:c r="E6" s="21" t="str">
        <x:v>互相复核</x:v>
      </x:c>
      <x:c r="F6" s="21" t="str">
        <x:v>□ 通过  □ 返工</x:v>
      </x:c>
      <x:c r="G6" s="1"/>
      <x:c r="H6" s="1"/>
      <x:c r="I6" s="1"/>
      <x:c r="J6" s="1"/>
      <x:c r="K6" s="1"/>
      <x:c r="L6" s="1"/>
    </x:row>
    <x:row r="7" ht="48" customHeight="1">
      <x:c r="A7" s="21" t="str">
        <x:v>P3 格式与输出</x:v>
      </x:c>
      <x:c r="B7" s="21" t="str">
        <x:v>基础文本流程已稳定。</x:v>
      </x:c>
      <x:c r="C7" s="21" t="str">
        <x:v>RTF/ODT 读取、.java/.cpp/.py/.js 源码显示、PDF 导出和打印完成。</x:v>
      </x:c>
      <x:c r="D7" s="21" t="str">
        <x:v>格式样例、PDF、打印记录</x:v>
      </x:c>
      <x:c r="E7" s="21" t="str">
        <x:v>互相复核</x:v>
      </x:c>
      <x:c r="F7" s="21" t="str">
        <x:v>□ 通过  □ 返工</x:v>
      </x:c>
      <x:c r="G7" s="1"/>
      <x:c r="H7" s="1"/>
      <x:c r="I7" s="1"/>
      <x:c r="J7" s="1"/>
      <x:c r="K7" s="1"/>
      <x:c r="L7" s="1"/>
    </x:row>
    <x:row r="8" ht="48" customHeight="1">
      <x:c r="A8" s="21" t="str">
        <x:v>P4 质量与自动化</x:v>
      </x:c>
      <x:c r="B8" s="21" t="str">
        <x:v>功能已合并并可 clean 构建。</x:v>
      </x:c>
      <x:c r="C8" s="21" t="str">
        <x:v>JUnit、SpotBugs、PMD、指标、Docker 与 CI 全部完成。</x:v>
      </x:c>
      <x:c r="D8" s="21" t="str">
        <x:v>reports、CI 运行、Docker Maven 命令</x:v>
      </x:c>
      <x:c r="E8" s="21" t="str">
        <x:v>互相复核</x:v>
      </x:c>
      <x:c r="F8" s="21" t="str">
        <x:v>□ 通过  □ 返工</x:v>
      </x:c>
      <x:c r="G8" s="1"/>
      <x:c r="H8" s="1"/>
      <x:c r="I8" s="1"/>
      <x:c r="J8" s="1"/>
      <x:c r="K8" s="1"/>
      <x:c r="L8" s="1"/>
    </x:row>
    <x:row r="9" ht="48" customHeight="1">
      <x:c r="A9" s="21" t="str">
        <x:v>P5 交付</x:v>
      </x:c>
      <x:c r="B9" s="21" t="str">
        <x:v>高优先级问题已处理。</x:v>
      </x:c>
      <x:c r="C9" s="21" t="str">
        <x:v>README、私有仓库、Issues、报告和不含 target 的压缩包符合题目。</x:v>
      </x:c>
      <x:c r="D9" s="21" t="str">
        <x:v>交付清单与最终验收表</x:v>
      </x:c>
      <x:c r="E9" s="21" t="str">
        <x:v>互相复核</x:v>
      </x:c>
      <x:c r="F9" s="21" t="str">
        <x:v>□ 通过  □ 返工</x:v>
      </x:c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A1:F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40" hidden="0" customWidth="1"/>
    <x:col min="5" max="5" width="12" hidden="0" customWidth="1"/>
  </x:cols>
  <x:sheetData>
    <x:row r="1">
      <x:c r="A1" s="5" t="str">
        <x:v>技术栈与配置清单</x:v>
      </x:c>
      <x:c r="B1" s="5"/>
      <x:c r="C1" s="5"/>
      <x:c r="D1" s="5"/>
      <x:c r="E1" s="5"/>
      <x:c r="F1" s="1"/>
      <x:c r="G1" s="1"/>
      <x:c r="H1" s="1"/>
      <x:c r="I1" s="1"/>
      <x:c r="J1" s="1"/>
      <x:c r="K1" s="1"/>
      <x:c r="L1" s="1"/>
    </x:row>
    <x:row r="2">
      <x:c r="A2" s="8" t="str">
        <x:v>保留最少但足以满足题目要求的工具和依赖；具体版本在 pom.xml 锁定。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7" t="str">
        <x:v>类别</x:v>
      </x:c>
      <x:c r="B4" s="17" t="str">
        <x:v>组件</x:v>
      </x:c>
      <x:c r="C4" s="17" t="str">
        <x:v>建议版本</x:v>
      </x:c>
      <x:c r="D4" s="17" t="str">
        <x:v>用途</x:v>
      </x:c>
      <x:c r="E4" s="17" t="str">
        <x:v>维护人</x:v>
      </x:c>
      <x:c r="F4" s="1"/>
      <x:c r="G4" s="1"/>
      <x:c r="H4" s="1"/>
      <x:c r="I4" s="1"/>
      <x:c r="J4" s="1"/>
      <x:c r="K4" s="1"/>
      <x:c r="L4" s="1"/>
    </x:row>
    <x:row r="5" ht="34" customHeight="1">
      <x:c r="A5" s="21" t="str">
        <x:v>语言与 GUI</x:v>
      </x:c>
      <x:c r="B5" s="21" t="str">
        <x:v>Java SE 17 + Swing</x:v>
      </x:c>
      <x:c r="C5" s="21" t="str">
        <x:v>17 LTS</x:v>
      </x:c>
      <x:c r="D5" s="21" t="str">
        <x:v>唯一应用开发环境；窗口、菜单、编辑、剪贴板和打印。</x:v>
      </x:c>
      <x:c r="E5" s="21" t="str">
        <x:v>B</x:v>
      </x:c>
      <x:c r="F5" s="1"/>
      <x:c r="G5" s="1"/>
      <x:c r="H5" s="1"/>
      <x:c r="I5" s="1"/>
      <x:c r="J5" s="1"/>
      <x:c r="K5" s="1"/>
      <x:c r="L5" s="1"/>
    </x:row>
    <x:row r="6" ht="34" customHeight="1">
      <x:c r="A6" s="21" t="str">
        <x:v>构建</x:v>
      </x:c>
      <x:c r="B6" s="21" t="str">
        <x:v>Maven</x:v>
      </x:c>
      <x:c r="C6" s="21" t="str">
        <x:v>3.9+</x:v>
      </x:c>
      <x:c r="D6" s="21" t="str">
        <x:v>唯一依赖、测试、报告与打包入口。</x:v>
      </x:c>
      <x:c r="E6" s="21" t="str">
        <x:v>A</x:v>
      </x:c>
      <x:c r="F6" s="1"/>
      <x:c r="G6" s="1"/>
      <x:c r="H6" s="1"/>
      <x:c r="I6" s="1"/>
      <x:c r="J6" s="1"/>
      <x:c r="K6" s="1"/>
      <x:c r="L6" s="1"/>
    </x:row>
    <x:row r="7" ht="34" customHeight="1">
      <x:c r="A7" s="21" t="str">
        <x:v>配置</x:v>
      </x:c>
      <x:c r="B7" s="21" t="str">
        <x:v>SnakeYAML</x:v>
      </x:c>
      <x:c r="C7" s="21" t="str">
        <x:v>在 pom.xml 锁定</x:v>
      </x:c>
      <x:c r="D7" s="21" t="str">
        <x:v>读取并应用 default.yml。</x:v>
      </x:c>
      <x:c r="E7" s="21" t="str">
        <x:v>A</x:v>
      </x:c>
      <x:c r="F7" s="1"/>
      <x:c r="G7" s="1"/>
      <x:c r="H7" s="1"/>
      <x:c r="I7" s="1"/>
      <x:c r="J7" s="1"/>
      <x:c r="K7" s="1"/>
      <x:c r="L7" s="1"/>
    </x:row>
    <x:row r="8" ht="34" customHeight="1">
      <x:c r="A8" s="21" t="str">
        <x:v>文件格式</x:v>
      </x:c>
      <x:c r="B8" s="21" t="str">
        <x:v>RTFEditorKit + ODFDOM</x:v>
      </x:c>
      <x:c r="C8" s="21" t="str">
        <x:v>在 pom.xml 锁定</x:v>
      </x:c>
      <x:c r="D8" s="21" t="str">
        <x:v>读取 RTF 和 ODT 文本。</x:v>
      </x:c>
      <x:c r="E8" s="21" t="str">
        <x:v>A</x:v>
      </x:c>
      <x:c r="F8" s="1"/>
      <x:c r="G8" s="1"/>
      <x:c r="H8" s="1"/>
      <x:c r="I8" s="1"/>
      <x:c r="J8" s="1"/>
      <x:c r="K8" s="1"/>
      <x:c r="L8" s="1"/>
    </x:row>
    <x:row r="9" ht="34" customHeight="1">
      <x:c r="A9" s="21" t="str">
        <x:v>源码展示</x:v>
      </x:c>
      <x:c r="B9" s="21" t="str">
        <x:v>RSyntaxTextArea</x:v>
      </x:c>
      <x:c r="C9" s="21" t="str">
        <x:v>在 pom.xml 锁定</x:v>
      </x:c>
      <x:c r="D9" s="21" t="str">
        <x:v>读取 .java/.cpp/.py/.js 等文件并展示基础语法颜色。</x:v>
      </x:c>
      <x:c r="E9" s="21" t="str">
        <x:v>B</x:v>
      </x:c>
      <x:c r="F9" s="1"/>
      <x:c r="G9" s="1"/>
      <x:c r="H9" s="1"/>
      <x:c r="I9" s="1"/>
      <x:c r="J9" s="1"/>
      <x:c r="K9" s="1"/>
      <x:c r="L9" s="1"/>
    </x:row>
    <x:row r="10" ht="34" customHeight="1">
      <x:c r="A10" s="21" t="str">
        <x:v>PDF</x:v>
      </x:c>
      <x:c r="B10" s="21" t="str">
        <x:v>Apache PDFBox</x:v>
      </x:c>
      <x:c r="C10" s="21" t="str">
        <x:v>在 pom.xml 锁定</x:v>
      </x:c>
      <x:c r="D10" s="21" t="str">
        <x:v>导出当前标准文本为 PDF。</x:v>
      </x:c>
      <x:c r="E10" s="21" t="str">
        <x:v>A</x:v>
      </x:c>
      <x:c r="F10" s="1"/>
      <x:c r="G10" s="1"/>
      <x:c r="H10" s="1"/>
      <x:c r="I10" s="1"/>
      <x:c r="J10" s="1"/>
      <x:c r="K10" s="1"/>
      <x:c r="L10" s="1"/>
    </x:row>
    <x:row r="11" ht="34" customHeight="1">
      <x:c r="A11" s="21" t="str">
        <x:v>测试</x:v>
      </x:c>
      <x:c r="B11" s="21" t="str">
        <x:v>JUnit 5</x:v>
      </x:c>
      <x:c r="C11" s="21" t="str">
        <x:v>在 pom.xml 锁定</x:v>
      </x:c>
      <x:c r="D11" s="21" t="str">
        <x:v>验证打开、保存、搜索及边界情况。</x:v>
      </x:c>
      <x:c r="E11" s="21" t="str">
        <x:v>A</x:v>
      </x:c>
      <x:c r="F11" s="1"/>
      <x:c r="G11" s="1"/>
      <x:c r="H11" s="1"/>
      <x:c r="I11" s="1"/>
      <x:c r="J11" s="1"/>
      <x:c r="K11" s="1"/>
      <x:c r="L11" s="1"/>
    </x:row>
    <x:row r="12" ht="34" customHeight="1">
      <x:c r="A12" s="21" t="str">
        <x:v>质量</x:v>
      </x:c>
      <x:c r="B12" s="21" t="str">
        <x:v>SpotBugs、PMD、JavaNCSS</x:v>
      </x:c>
      <x:c r="C12" s="21" t="str">
        <x:v>Maven 插件</x:v>
      </x:c>
      <x:c r="D12" s="21" t="str">
        <x:v>生成缺陷、规则和代码指标报告。</x:v>
      </x:c>
      <x:c r="E12" s="21" t="str">
        <x:v>A</x:v>
      </x:c>
      <x:c r="F12" s="1"/>
      <x:c r="G12" s="1"/>
      <x:c r="H12" s="1"/>
      <x:c r="I12" s="1"/>
      <x:c r="J12" s="1"/>
      <x:c r="K12" s="1"/>
      <x:c r="L12" s="1"/>
    </x:row>
    <x:row r="13" ht="34" customHeight="1">
      <x:c r="A13" s="21" t="str">
        <x:v>自动化</x:v>
      </x:c>
      <x:c r="B13" s="21" t="str">
        <x:v>GitHub Actions + Docker</x:v>
      </x:c>
      <x:c r="C13" s="21" t="str">
        <x:v>YAML / Dockerfile</x:v>
      </x:c>
      <x:c r="D13" s="21" t="str">
        <x:v>CI 与无本机配置的 Maven 验证。</x:v>
      </x:c>
      <x:c r="E13" s="21" t="str">
        <x:v>B</x:v>
      </x:c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A1:E1"/>
    <x:mergeCell ref="A2:L2"/>
  </x:mergeCells>
  <x:pageMargins left="0.7" right="0.7" top="0.75" bottom="0.75" header="0.3" footer="0.3"/>
</x:worksheet>
</file>